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sherrod/Downloads/"/>
    </mc:Choice>
  </mc:AlternateContent>
  <xr:revisionPtr revIDLastSave="0" documentId="13_ncr:1_{3C107466-7CB0-5545-A74E-B9B615CB5E44}" xr6:coauthVersionLast="47" xr6:coauthVersionMax="47" xr10:uidLastSave="{00000000-0000-0000-0000-000000000000}"/>
  <bookViews>
    <workbookView xWindow="1160" yWindow="860" windowWidth="38400" windowHeight="22260" xr2:uid="{CBAA44B9-F0F4-9B42-A54C-028A09E9B6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4" i="1"/>
  <c r="C33" i="1"/>
  <c r="C32" i="1"/>
  <c r="C31" i="1"/>
  <c r="C30" i="1"/>
  <c r="C29" i="1"/>
  <c r="C28" i="1"/>
  <c r="C27" i="1"/>
  <c r="C26" i="1"/>
  <c r="C25" i="1"/>
  <c r="E29" i="1"/>
  <c r="E30" i="1"/>
  <c r="E31" i="1"/>
  <c r="E32" i="1"/>
  <c r="E33" i="1"/>
  <c r="E34" i="1"/>
  <c r="C24" i="1"/>
  <c r="C23" i="1"/>
  <c r="C22" i="1"/>
  <c r="C21" i="1"/>
  <c r="C20" i="1"/>
  <c r="C19" i="1"/>
  <c r="C18" i="1"/>
  <c r="C17" i="1"/>
  <c r="C16" i="1"/>
  <c r="E17" i="1"/>
  <c r="E18" i="1"/>
  <c r="E19" i="1"/>
  <c r="E20" i="1"/>
  <c r="E21" i="1"/>
  <c r="E22" i="1"/>
  <c r="E23" i="1"/>
  <c r="E24" i="1"/>
  <c r="E25" i="1"/>
  <c r="E26" i="1"/>
  <c r="E27" i="1"/>
  <c r="E28" i="1"/>
  <c r="E6" i="1"/>
  <c r="E7" i="1"/>
  <c r="E8" i="1"/>
  <c r="E9" i="1"/>
  <c r="E10" i="1"/>
  <c r="E11" i="1"/>
  <c r="E12" i="1"/>
  <c r="E13" i="1"/>
  <c r="E14" i="1"/>
  <c r="E15" i="1"/>
  <c r="E16" i="1"/>
  <c r="E5" i="1"/>
</calcChain>
</file>

<file path=xl/sharedStrings.xml><?xml version="1.0" encoding="utf-8"?>
<sst xmlns="http://schemas.openxmlformats.org/spreadsheetml/2006/main" count="48" uniqueCount="48">
  <si>
    <t>Hours Elapsed</t>
  </si>
  <si>
    <t>Timestamp</t>
  </si>
  <si>
    <t>Gravity (corrected)</t>
  </si>
  <si>
    <t>pH</t>
  </si>
  <si>
    <t>Notes</t>
  </si>
  <si>
    <t>Temp ( C )</t>
  </si>
  <si>
    <t>Chose Premier Classique because it has moderate reaction fermentation kinetics which is ideal for analysis. It also is known for preserving fruit character, best for a wildberry mead.</t>
  </si>
  <si>
    <t>Inputs:</t>
  </si>
  <si>
    <t>Blackberries: 0.805 lbs / 367 grams</t>
  </si>
  <si>
    <t>Wild Honey: 2.5 lbs / 1134 grams</t>
  </si>
  <si>
    <t>EC (mS)</t>
  </si>
  <si>
    <t>Brix (Raw) (%)</t>
  </si>
  <si>
    <t>Wineberries: 0.805 lbs / 367 grams</t>
  </si>
  <si>
    <t>July 20 - 8:30 pm (pre-ferm)</t>
  </si>
  <si>
    <t>July 21 - 10:45 am</t>
  </si>
  <si>
    <t>some froth/bubbles in the headspace and airlock is slowly pushing co2 out through consistent bubbling</t>
  </si>
  <si>
    <t>July 21 - 10: 30  pm</t>
  </si>
  <si>
    <t>July 22 - 11:00 am</t>
  </si>
  <si>
    <t>bubbling at increased frequency. Slight ethanol scent upon sampling.</t>
  </si>
  <si>
    <t>July 22 -  10:15 pm</t>
  </si>
  <si>
    <t>Living room thermostat ran out of battery for the night, likely cause of large temp increase</t>
  </si>
  <si>
    <t>July 23 - 11:30 am</t>
  </si>
  <si>
    <t>July  24th - 11:00 am</t>
  </si>
  <si>
    <t>July 24th - 10:45 pm</t>
  </si>
  <si>
    <t>July 25th: 10:45 am</t>
  </si>
  <si>
    <t>July 25th: 11:45 pm</t>
  </si>
  <si>
    <t>July 26th: 11:15 am</t>
  </si>
  <si>
    <t>July 27th: 9:00 am</t>
  </si>
  <si>
    <t>July 26th: 10:30 pm</t>
  </si>
  <si>
    <t>July 28th: 8:15 pm</t>
  </si>
  <si>
    <t>July 28th: 11:30 am</t>
  </si>
  <si>
    <t>July 27th: 8:00 pm</t>
  </si>
  <si>
    <t>July 29th: 11:00 am</t>
  </si>
  <si>
    <t>July 29th: 8:45 pm</t>
  </si>
  <si>
    <t>July 30th: 11:30 pm</t>
  </si>
  <si>
    <t>July 30th: 11:15 am</t>
  </si>
  <si>
    <t>Airlock has ceased bubbling</t>
  </si>
  <si>
    <t>July 31st: 11:45 am</t>
  </si>
  <si>
    <t>July 31st: 9:45 pm</t>
  </si>
  <si>
    <t>Aug 1st: 12:45 am</t>
  </si>
  <si>
    <t>Aug 1st: 11:00 pm</t>
  </si>
  <si>
    <t>Aug 2nd: 10:45 am</t>
  </si>
  <si>
    <t>Aug 2nd: 10:15 pm</t>
  </si>
  <si>
    <t>Aug 3rd: 12:30 am</t>
  </si>
  <si>
    <t>Aug 3rd: 10:15 pm</t>
  </si>
  <si>
    <t>Aug 4th: 11:30 am</t>
  </si>
  <si>
    <t>Aug 4th: 11:15 pm</t>
  </si>
  <si>
    <t>Aug 5th: 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</si>
</sst>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Fermentation</a:t>
            </a:r>
            <a:r>
              <a:rPr lang="en-US" baseline="0"/>
              <a:t> Variable Tracking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Specific Gravity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Sheet1!$C$5:$C$60</c:f>
              <c:numCache>
                <c:formatCode>General</c:formatCode>
                <c:ptCount val="56"/>
                <c:pt idx="0">
                  <c:v>0</c:v>
                </c:pt>
                <c:pt idx="1">
                  <c:v>14.25</c:v>
                </c:pt>
                <c:pt idx="2">
                  <c:v>26</c:v>
                </c:pt>
                <c:pt idx="3">
                  <c:v>36.5</c:v>
                </c:pt>
                <c:pt idx="4">
                  <c:v>47.75</c:v>
                </c:pt>
                <c:pt idx="5">
                  <c:v>61</c:v>
                </c:pt>
                <c:pt idx="6">
                  <c:v>72.5</c:v>
                </c:pt>
                <c:pt idx="7">
                  <c:v>84.25</c:v>
                </c:pt>
                <c:pt idx="8">
                  <c:v>96.25</c:v>
                </c:pt>
                <c:pt idx="9">
                  <c:v>109.25</c:v>
                </c:pt>
                <c:pt idx="10">
                  <c:v>120.75</c:v>
                </c:pt>
                <c:pt idx="11">
                  <c:v>132</c:v>
                </c:pt>
                <c:pt idx="12">
                  <c:v>142.5</c:v>
                </c:pt>
                <c:pt idx="13">
                  <c:v>153.5</c:v>
                </c:pt>
                <c:pt idx="14">
                  <c:v>169</c:v>
                </c:pt>
                <c:pt idx="15">
                  <c:v>177.75</c:v>
                </c:pt>
                <c:pt idx="16">
                  <c:v>192.5</c:v>
                </c:pt>
                <c:pt idx="17">
                  <c:v>202.25</c:v>
                </c:pt>
                <c:pt idx="18">
                  <c:v>216.75</c:v>
                </c:pt>
                <c:pt idx="19">
                  <c:v>229</c:v>
                </c:pt>
                <c:pt idx="20">
                  <c:v>241.25</c:v>
                </c:pt>
                <c:pt idx="21">
                  <c:v>251.25</c:v>
                </c:pt>
                <c:pt idx="22">
                  <c:v>266.25</c:v>
                </c:pt>
                <c:pt idx="23">
                  <c:v>276.5</c:v>
                </c:pt>
                <c:pt idx="24">
                  <c:v>288.25</c:v>
                </c:pt>
                <c:pt idx="25">
                  <c:v>299.75</c:v>
                </c:pt>
                <c:pt idx="26">
                  <c:v>314</c:v>
                </c:pt>
                <c:pt idx="27">
                  <c:v>323.75</c:v>
                </c:pt>
                <c:pt idx="28">
                  <c:v>337</c:v>
                </c:pt>
                <c:pt idx="29">
                  <c:v>348.75</c:v>
                </c:pt>
                <c:pt idx="30">
                  <c:v>363.5</c:v>
                </c:pt>
              </c:numCache>
            </c:numRef>
          </c:xVal>
          <c:yVal>
            <c:numRef>
              <c:f>Sheet1!$E$5:$E$60</c:f>
              <c:numCache>
                <c:formatCode>General</c:formatCode>
                <c:ptCount val="56"/>
                <c:pt idx="0">
                  <c:v>1.1023136979883543</c:v>
                </c:pt>
                <c:pt idx="1">
                  <c:v>1.1023136979883543</c:v>
                </c:pt>
                <c:pt idx="2">
                  <c:v>1.0999688330895796</c:v>
                </c:pt>
                <c:pt idx="3">
                  <c:v>1.0883927263115252</c:v>
                </c:pt>
                <c:pt idx="4">
                  <c:v>1.077057983389992</c:v>
                </c:pt>
                <c:pt idx="5">
                  <c:v>1.0659571334909725</c:v>
                </c:pt>
                <c:pt idx="6">
                  <c:v>1.0529347837164509</c:v>
                </c:pt>
                <c:pt idx="7">
                  <c:v>1.0465423266513008</c:v>
                </c:pt>
                <c:pt idx="8">
                  <c:v>1.0444287398669481</c:v>
                </c:pt>
                <c:pt idx="9">
                  <c:v>1.0444287398669481</c:v>
                </c:pt>
                <c:pt idx="10">
                  <c:v>1.0423236822772934</c:v>
                </c:pt>
                <c:pt idx="11">
                  <c:v>1.0423236822772934</c:v>
                </c:pt>
                <c:pt idx="12">
                  <c:v>1.0423236822772934</c:v>
                </c:pt>
                <c:pt idx="13">
                  <c:v>1.0402271023580678</c:v>
                </c:pt>
                <c:pt idx="14">
                  <c:v>1.0402271023580678</c:v>
                </c:pt>
                <c:pt idx="15">
                  <c:v>1.0402271023580678</c:v>
                </c:pt>
                <c:pt idx="16">
                  <c:v>1.0381389489991752</c:v>
                </c:pt>
                <c:pt idx="17">
                  <c:v>1.0381389489991752</c:v>
                </c:pt>
                <c:pt idx="18">
                  <c:v>1.0381389489991752</c:v>
                </c:pt>
                <c:pt idx="19">
                  <c:v>1.0381389489991752</c:v>
                </c:pt>
                <c:pt idx="20">
                  <c:v>1.0381389489991752</c:v>
                </c:pt>
                <c:pt idx="21">
                  <c:v>1.0381389489991752</c:v>
                </c:pt>
                <c:pt idx="22">
                  <c:v>1.0360591715005374</c:v>
                </c:pt>
                <c:pt idx="23">
                  <c:v>1.0360591715005374</c:v>
                </c:pt>
                <c:pt idx="24">
                  <c:v>1.0360591715005374</c:v>
                </c:pt>
                <c:pt idx="25">
                  <c:v>1.0360591715005374</c:v>
                </c:pt>
                <c:pt idx="26">
                  <c:v>1.0360591715005374</c:v>
                </c:pt>
                <c:pt idx="27">
                  <c:v>1.0360591715005374</c:v>
                </c:pt>
                <c:pt idx="28">
                  <c:v>1.0360591715005374</c:v>
                </c:pt>
                <c:pt idx="29">
                  <c:v>1.0360591715005374</c:v>
                </c:pt>
                <c:pt idx="30">
                  <c:v>0.996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ED-604E-8101-6EC57866C899}"/>
            </c:ext>
          </c:extLst>
        </c:ser>
        <c:ser>
          <c:idx val="2"/>
          <c:order val="2"/>
          <c:tx>
            <c:v>pH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Sheet1!$C$5:$C$60</c:f>
              <c:numCache>
                <c:formatCode>General</c:formatCode>
                <c:ptCount val="56"/>
                <c:pt idx="0">
                  <c:v>0</c:v>
                </c:pt>
                <c:pt idx="1">
                  <c:v>14.25</c:v>
                </c:pt>
                <c:pt idx="2">
                  <c:v>26</c:v>
                </c:pt>
                <c:pt idx="3">
                  <c:v>36.5</c:v>
                </c:pt>
                <c:pt idx="4">
                  <c:v>47.75</c:v>
                </c:pt>
                <c:pt idx="5">
                  <c:v>61</c:v>
                </c:pt>
                <c:pt idx="6">
                  <c:v>72.5</c:v>
                </c:pt>
                <c:pt idx="7">
                  <c:v>84.25</c:v>
                </c:pt>
                <c:pt idx="8">
                  <c:v>96.25</c:v>
                </c:pt>
                <c:pt idx="9">
                  <c:v>109.25</c:v>
                </c:pt>
                <c:pt idx="10">
                  <c:v>120.75</c:v>
                </c:pt>
                <c:pt idx="11">
                  <c:v>132</c:v>
                </c:pt>
                <c:pt idx="12">
                  <c:v>142.5</c:v>
                </c:pt>
                <c:pt idx="13">
                  <c:v>153.5</c:v>
                </c:pt>
                <c:pt idx="14">
                  <c:v>169</c:v>
                </c:pt>
                <c:pt idx="15">
                  <c:v>177.75</c:v>
                </c:pt>
                <c:pt idx="16">
                  <c:v>192.5</c:v>
                </c:pt>
                <c:pt idx="17">
                  <c:v>202.25</c:v>
                </c:pt>
                <c:pt idx="18">
                  <c:v>216.75</c:v>
                </c:pt>
                <c:pt idx="19">
                  <c:v>229</c:v>
                </c:pt>
                <c:pt idx="20">
                  <c:v>241.25</c:v>
                </c:pt>
                <c:pt idx="21">
                  <c:v>251.25</c:v>
                </c:pt>
                <c:pt idx="22">
                  <c:v>266.25</c:v>
                </c:pt>
                <c:pt idx="23">
                  <c:v>276.5</c:v>
                </c:pt>
                <c:pt idx="24">
                  <c:v>288.25</c:v>
                </c:pt>
                <c:pt idx="25">
                  <c:v>299.75</c:v>
                </c:pt>
                <c:pt idx="26">
                  <c:v>314</c:v>
                </c:pt>
                <c:pt idx="27">
                  <c:v>323.75</c:v>
                </c:pt>
                <c:pt idx="28">
                  <c:v>337</c:v>
                </c:pt>
                <c:pt idx="29">
                  <c:v>348.75</c:v>
                </c:pt>
                <c:pt idx="30">
                  <c:v>363.5</c:v>
                </c:pt>
              </c:numCache>
            </c:numRef>
          </c:xVal>
          <c:yVal>
            <c:numRef>
              <c:f>Sheet1!$F$5:$F$60</c:f>
              <c:numCache>
                <c:formatCode>General</c:formatCode>
                <c:ptCount val="56"/>
                <c:pt idx="0">
                  <c:v>3.8</c:v>
                </c:pt>
                <c:pt idx="1">
                  <c:v>3.7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3.3</c:v>
                </c:pt>
                <c:pt idx="6">
                  <c:v>3.4</c:v>
                </c:pt>
                <c:pt idx="7">
                  <c:v>3.5</c:v>
                </c:pt>
                <c:pt idx="8">
                  <c:v>3.6</c:v>
                </c:pt>
                <c:pt idx="9">
                  <c:v>3.6</c:v>
                </c:pt>
                <c:pt idx="10">
                  <c:v>3.7</c:v>
                </c:pt>
                <c:pt idx="11">
                  <c:v>3.7</c:v>
                </c:pt>
                <c:pt idx="12">
                  <c:v>3.7</c:v>
                </c:pt>
                <c:pt idx="13">
                  <c:v>3.6</c:v>
                </c:pt>
                <c:pt idx="14">
                  <c:v>3.7</c:v>
                </c:pt>
                <c:pt idx="15">
                  <c:v>3.7</c:v>
                </c:pt>
                <c:pt idx="16">
                  <c:v>3.8</c:v>
                </c:pt>
                <c:pt idx="17">
                  <c:v>3.8</c:v>
                </c:pt>
                <c:pt idx="18">
                  <c:v>3.8</c:v>
                </c:pt>
                <c:pt idx="19">
                  <c:v>3.8</c:v>
                </c:pt>
                <c:pt idx="20">
                  <c:v>3.8</c:v>
                </c:pt>
                <c:pt idx="21">
                  <c:v>3.8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3.9</c:v>
                </c:pt>
                <c:pt idx="26">
                  <c:v>3.9</c:v>
                </c:pt>
                <c:pt idx="27">
                  <c:v>3.9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ED-604E-8101-6EC57866C899}"/>
            </c:ext>
          </c:extLst>
        </c:ser>
        <c:ser>
          <c:idx val="3"/>
          <c:order val="3"/>
          <c:tx>
            <c:v>EC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Sheet1!$C$5:$C$60</c:f>
              <c:numCache>
                <c:formatCode>General</c:formatCode>
                <c:ptCount val="56"/>
                <c:pt idx="0">
                  <c:v>0</c:v>
                </c:pt>
                <c:pt idx="1">
                  <c:v>14.25</c:v>
                </c:pt>
                <c:pt idx="2">
                  <c:v>26</c:v>
                </c:pt>
                <c:pt idx="3">
                  <c:v>36.5</c:v>
                </c:pt>
                <c:pt idx="4">
                  <c:v>47.75</c:v>
                </c:pt>
                <c:pt idx="5">
                  <c:v>61</c:v>
                </c:pt>
                <c:pt idx="6">
                  <c:v>72.5</c:v>
                </c:pt>
                <c:pt idx="7">
                  <c:v>84.25</c:v>
                </c:pt>
                <c:pt idx="8">
                  <c:v>96.25</c:v>
                </c:pt>
                <c:pt idx="9">
                  <c:v>109.25</c:v>
                </c:pt>
                <c:pt idx="10">
                  <c:v>120.75</c:v>
                </c:pt>
                <c:pt idx="11">
                  <c:v>132</c:v>
                </c:pt>
                <c:pt idx="12">
                  <c:v>142.5</c:v>
                </c:pt>
                <c:pt idx="13">
                  <c:v>153.5</c:v>
                </c:pt>
                <c:pt idx="14">
                  <c:v>169</c:v>
                </c:pt>
                <c:pt idx="15">
                  <c:v>177.75</c:v>
                </c:pt>
                <c:pt idx="16">
                  <c:v>192.5</c:v>
                </c:pt>
                <c:pt idx="17">
                  <c:v>202.25</c:v>
                </c:pt>
                <c:pt idx="18">
                  <c:v>216.75</c:v>
                </c:pt>
                <c:pt idx="19">
                  <c:v>229</c:v>
                </c:pt>
                <c:pt idx="20">
                  <c:v>241.25</c:v>
                </c:pt>
                <c:pt idx="21">
                  <c:v>251.25</c:v>
                </c:pt>
                <c:pt idx="22">
                  <c:v>266.25</c:v>
                </c:pt>
                <c:pt idx="23">
                  <c:v>276.5</c:v>
                </c:pt>
                <c:pt idx="24">
                  <c:v>288.25</c:v>
                </c:pt>
                <c:pt idx="25">
                  <c:v>299.75</c:v>
                </c:pt>
                <c:pt idx="26">
                  <c:v>314</c:v>
                </c:pt>
                <c:pt idx="27">
                  <c:v>323.75</c:v>
                </c:pt>
                <c:pt idx="28">
                  <c:v>337</c:v>
                </c:pt>
                <c:pt idx="29">
                  <c:v>348.75</c:v>
                </c:pt>
                <c:pt idx="30">
                  <c:v>363.5</c:v>
                </c:pt>
              </c:numCache>
            </c:numRef>
          </c:xVal>
          <c:yVal>
            <c:numRef>
              <c:f>Sheet1!$G$5:$G$60</c:f>
              <c:numCache>
                <c:formatCode>General</c:formatCode>
                <c:ptCount val="56"/>
                <c:pt idx="0">
                  <c:v>1.08</c:v>
                </c:pt>
                <c:pt idx="1">
                  <c:v>1.0900000000000001</c:v>
                </c:pt>
                <c:pt idx="2">
                  <c:v>1.35</c:v>
                </c:pt>
                <c:pt idx="3">
                  <c:v>0.99</c:v>
                </c:pt>
                <c:pt idx="4">
                  <c:v>1.03</c:v>
                </c:pt>
                <c:pt idx="5">
                  <c:v>0.97</c:v>
                </c:pt>
                <c:pt idx="6">
                  <c:v>1.07</c:v>
                </c:pt>
                <c:pt idx="7">
                  <c:v>1.0900000000000001</c:v>
                </c:pt>
                <c:pt idx="8">
                  <c:v>0.94</c:v>
                </c:pt>
                <c:pt idx="9">
                  <c:v>0.93</c:v>
                </c:pt>
                <c:pt idx="10">
                  <c:v>0.98</c:v>
                </c:pt>
                <c:pt idx="11">
                  <c:v>1.06</c:v>
                </c:pt>
                <c:pt idx="12">
                  <c:v>1.17</c:v>
                </c:pt>
                <c:pt idx="13">
                  <c:v>1.22</c:v>
                </c:pt>
                <c:pt idx="14">
                  <c:v>1.32</c:v>
                </c:pt>
                <c:pt idx="15">
                  <c:v>1.22</c:v>
                </c:pt>
                <c:pt idx="16">
                  <c:v>1.28</c:v>
                </c:pt>
                <c:pt idx="17">
                  <c:v>1.18</c:v>
                </c:pt>
                <c:pt idx="18">
                  <c:v>1.26</c:v>
                </c:pt>
                <c:pt idx="19">
                  <c:v>1.25</c:v>
                </c:pt>
                <c:pt idx="20">
                  <c:v>1.07</c:v>
                </c:pt>
                <c:pt idx="21">
                  <c:v>1.25</c:v>
                </c:pt>
                <c:pt idx="22">
                  <c:v>1.29</c:v>
                </c:pt>
                <c:pt idx="23">
                  <c:v>1.29</c:v>
                </c:pt>
                <c:pt idx="24">
                  <c:v>1.27</c:v>
                </c:pt>
                <c:pt idx="25">
                  <c:v>1.27</c:v>
                </c:pt>
                <c:pt idx="26">
                  <c:v>1.26</c:v>
                </c:pt>
                <c:pt idx="27">
                  <c:v>1.29</c:v>
                </c:pt>
                <c:pt idx="28">
                  <c:v>1.35</c:v>
                </c:pt>
                <c:pt idx="29">
                  <c:v>1.33</c:v>
                </c:pt>
                <c:pt idx="30">
                  <c:v>1.33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ED-604E-8101-6EC57866C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886368"/>
        <c:axId val="309079776"/>
      </c:scatterChart>
      <c:scatterChart>
        <c:scatterStyle val="smoothMarker"/>
        <c:varyColors val="0"/>
        <c:ser>
          <c:idx val="0"/>
          <c:order val="0"/>
          <c:tx>
            <c:v>Brix 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Sheet1!$C$5:$C$60</c:f>
              <c:numCache>
                <c:formatCode>General</c:formatCode>
                <c:ptCount val="56"/>
                <c:pt idx="0">
                  <c:v>0</c:v>
                </c:pt>
                <c:pt idx="1">
                  <c:v>14.25</c:v>
                </c:pt>
                <c:pt idx="2">
                  <c:v>26</c:v>
                </c:pt>
                <c:pt idx="3">
                  <c:v>36.5</c:v>
                </c:pt>
                <c:pt idx="4">
                  <c:v>47.75</c:v>
                </c:pt>
                <c:pt idx="5">
                  <c:v>61</c:v>
                </c:pt>
                <c:pt idx="6">
                  <c:v>72.5</c:v>
                </c:pt>
                <c:pt idx="7">
                  <c:v>84.25</c:v>
                </c:pt>
                <c:pt idx="8">
                  <c:v>96.25</c:v>
                </c:pt>
                <c:pt idx="9">
                  <c:v>109.25</c:v>
                </c:pt>
                <c:pt idx="10">
                  <c:v>120.75</c:v>
                </c:pt>
                <c:pt idx="11">
                  <c:v>132</c:v>
                </c:pt>
                <c:pt idx="12">
                  <c:v>142.5</c:v>
                </c:pt>
                <c:pt idx="13">
                  <c:v>153.5</c:v>
                </c:pt>
                <c:pt idx="14">
                  <c:v>169</c:v>
                </c:pt>
                <c:pt idx="15">
                  <c:v>177.75</c:v>
                </c:pt>
                <c:pt idx="16">
                  <c:v>192.5</c:v>
                </c:pt>
                <c:pt idx="17">
                  <c:v>202.25</c:v>
                </c:pt>
                <c:pt idx="18">
                  <c:v>216.75</c:v>
                </c:pt>
                <c:pt idx="19">
                  <c:v>229</c:v>
                </c:pt>
                <c:pt idx="20">
                  <c:v>241.25</c:v>
                </c:pt>
                <c:pt idx="21">
                  <c:v>251.25</c:v>
                </c:pt>
                <c:pt idx="22">
                  <c:v>266.25</c:v>
                </c:pt>
                <c:pt idx="23">
                  <c:v>276.5</c:v>
                </c:pt>
                <c:pt idx="24">
                  <c:v>288.25</c:v>
                </c:pt>
                <c:pt idx="25">
                  <c:v>299.75</c:v>
                </c:pt>
                <c:pt idx="26">
                  <c:v>314</c:v>
                </c:pt>
                <c:pt idx="27">
                  <c:v>323.75</c:v>
                </c:pt>
                <c:pt idx="28">
                  <c:v>337</c:v>
                </c:pt>
                <c:pt idx="29">
                  <c:v>348.75</c:v>
                </c:pt>
                <c:pt idx="30">
                  <c:v>363.5</c:v>
                </c:pt>
              </c:numCache>
            </c:numRef>
          </c:xVal>
          <c:yVal>
            <c:numRef>
              <c:f>Sheet1!$D$5:$D$60</c:f>
              <c:numCache>
                <c:formatCode>General</c:formatCode>
                <c:ptCount val="56"/>
                <c:pt idx="0">
                  <c:v>24</c:v>
                </c:pt>
                <c:pt idx="1">
                  <c:v>24</c:v>
                </c:pt>
                <c:pt idx="2">
                  <c:v>23.5</c:v>
                </c:pt>
                <c:pt idx="3">
                  <c:v>21</c:v>
                </c:pt>
                <c:pt idx="4">
                  <c:v>18.5</c:v>
                </c:pt>
                <c:pt idx="5">
                  <c:v>16</c:v>
                </c:pt>
                <c:pt idx="6">
                  <c:v>13</c:v>
                </c:pt>
                <c:pt idx="7">
                  <c:v>11.5</c:v>
                </c:pt>
                <c:pt idx="8">
                  <c:v>11</c:v>
                </c:pt>
                <c:pt idx="9">
                  <c:v>11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ED-604E-8101-6EC57866C899}"/>
            </c:ext>
          </c:extLst>
        </c:ser>
        <c:ser>
          <c:idx val="4"/>
          <c:order val="4"/>
          <c:tx>
            <c:v>Temp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Sheet1!$C$5:$C$60</c:f>
              <c:numCache>
                <c:formatCode>General</c:formatCode>
                <c:ptCount val="56"/>
                <c:pt idx="0">
                  <c:v>0</c:v>
                </c:pt>
                <c:pt idx="1">
                  <c:v>14.25</c:v>
                </c:pt>
                <c:pt idx="2">
                  <c:v>26</c:v>
                </c:pt>
                <c:pt idx="3">
                  <c:v>36.5</c:v>
                </c:pt>
                <c:pt idx="4">
                  <c:v>47.75</c:v>
                </c:pt>
                <c:pt idx="5">
                  <c:v>61</c:v>
                </c:pt>
                <c:pt idx="6">
                  <c:v>72.5</c:v>
                </c:pt>
                <c:pt idx="7">
                  <c:v>84.25</c:v>
                </c:pt>
                <c:pt idx="8">
                  <c:v>96.25</c:v>
                </c:pt>
                <c:pt idx="9">
                  <c:v>109.25</c:v>
                </c:pt>
                <c:pt idx="10">
                  <c:v>120.75</c:v>
                </c:pt>
                <c:pt idx="11">
                  <c:v>132</c:v>
                </c:pt>
                <c:pt idx="12">
                  <c:v>142.5</c:v>
                </c:pt>
                <c:pt idx="13">
                  <c:v>153.5</c:v>
                </c:pt>
                <c:pt idx="14">
                  <c:v>169</c:v>
                </c:pt>
                <c:pt idx="15">
                  <c:v>177.75</c:v>
                </c:pt>
                <c:pt idx="16">
                  <c:v>192.5</c:v>
                </c:pt>
                <c:pt idx="17">
                  <c:v>202.25</c:v>
                </c:pt>
                <c:pt idx="18">
                  <c:v>216.75</c:v>
                </c:pt>
                <c:pt idx="19">
                  <c:v>229</c:v>
                </c:pt>
                <c:pt idx="20">
                  <c:v>241.25</c:v>
                </c:pt>
                <c:pt idx="21">
                  <c:v>251.25</c:v>
                </c:pt>
                <c:pt idx="22">
                  <c:v>266.25</c:v>
                </c:pt>
                <c:pt idx="23">
                  <c:v>276.5</c:v>
                </c:pt>
                <c:pt idx="24">
                  <c:v>288.25</c:v>
                </c:pt>
                <c:pt idx="25">
                  <c:v>299.75</c:v>
                </c:pt>
                <c:pt idx="26">
                  <c:v>314</c:v>
                </c:pt>
                <c:pt idx="27">
                  <c:v>323.75</c:v>
                </c:pt>
                <c:pt idx="28">
                  <c:v>337</c:v>
                </c:pt>
                <c:pt idx="29">
                  <c:v>348.75</c:v>
                </c:pt>
                <c:pt idx="30">
                  <c:v>363.5</c:v>
                </c:pt>
              </c:numCache>
            </c:numRef>
          </c:xVal>
          <c:yVal>
            <c:numRef>
              <c:f>Sheet1!$H$5:$H$60</c:f>
              <c:numCache>
                <c:formatCode>General</c:formatCode>
                <c:ptCount val="56"/>
                <c:pt idx="0">
                  <c:v>24.6</c:v>
                </c:pt>
                <c:pt idx="1">
                  <c:v>22</c:v>
                </c:pt>
                <c:pt idx="2">
                  <c:v>21.5</c:v>
                </c:pt>
                <c:pt idx="3">
                  <c:v>22.4</c:v>
                </c:pt>
                <c:pt idx="4">
                  <c:v>24.4</c:v>
                </c:pt>
                <c:pt idx="5">
                  <c:v>23.5</c:v>
                </c:pt>
                <c:pt idx="6">
                  <c:v>22.5</c:v>
                </c:pt>
                <c:pt idx="7">
                  <c:v>22.9</c:v>
                </c:pt>
                <c:pt idx="8">
                  <c:v>22.2</c:v>
                </c:pt>
                <c:pt idx="9">
                  <c:v>22.8</c:v>
                </c:pt>
                <c:pt idx="10">
                  <c:v>22.3</c:v>
                </c:pt>
                <c:pt idx="11">
                  <c:v>22.9</c:v>
                </c:pt>
                <c:pt idx="12">
                  <c:v>23.4</c:v>
                </c:pt>
                <c:pt idx="13">
                  <c:v>22</c:v>
                </c:pt>
                <c:pt idx="14">
                  <c:v>26.5</c:v>
                </c:pt>
                <c:pt idx="15">
                  <c:v>21.3</c:v>
                </c:pt>
                <c:pt idx="16">
                  <c:v>22.4</c:v>
                </c:pt>
                <c:pt idx="17">
                  <c:v>21.4</c:v>
                </c:pt>
                <c:pt idx="18">
                  <c:v>22.3</c:v>
                </c:pt>
                <c:pt idx="19">
                  <c:v>21.7</c:v>
                </c:pt>
                <c:pt idx="20">
                  <c:v>22.2</c:v>
                </c:pt>
                <c:pt idx="21">
                  <c:v>22.6</c:v>
                </c:pt>
                <c:pt idx="22">
                  <c:v>21.2</c:v>
                </c:pt>
                <c:pt idx="23">
                  <c:v>21.6</c:v>
                </c:pt>
                <c:pt idx="24">
                  <c:v>21.3</c:v>
                </c:pt>
                <c:pt idx="25">
                  <c:v>21.6</c:v>
                </c:pt>
                <c:pt idx="26">
                  <c:v>21.6</c:v>
                </c:pt>
                <c:pt idx="27">
                  <c:v>21.4</c:v>
                </c:pt>
                <c:pt idx="28">
                  <c:v>21.7</c:v>
                </c:pt>
                <c:pt idx="29">
                  <c:v>21.8</c:v>
                </c:pt>
                <c:pt idx="30">
                  <c:v>21.8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FED-604E-8101-6EC57866C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21024"/>
        <c:axId val="617227664"/>
      </c:scatterChart>
      <c:valAx>
        <c:axId val="56788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Elapsed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79776"/>
        <c:crosses val="autoZero"/>
        <c:crossBetween val="midCat"/>
      </c:valAx>
      <c:valAx>
        <c:axId val="3090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86368"/>
        <c:crosses val="autoZero"/>
        <c:crossBetween val="midCat"/>
      </c:valAx>
      <c:valAx>
        <c:axId val="617227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21024"/>
        <c:crosses val="max"/>
        <c:crossBetween val="midCat"/>
      </c:valAx>
      <c:valAx>
        <c:axId val="617221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7227664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Brix</a:t>
            </a:r>
            <a:r>
              <a:rPr lang="en-US" baseline="0"/>
              <a:t> % vs Hours Elapsed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Sheet1!$C$5:$C$34</c:f>
              <c:numCache>
                <c:formatCode>General</c:formatCode>
                <c:ptCount val="30"/>
                <c:pt idx="0">
                  <c:v>0</c:v>
                </c:pt>
                <c:pt idx="1">
                  <c:v>14.25</c:v>
                </c:pt>
                <c:pt idx="2">
                  <c:v>26</c:v>
                </c:pt>
                <c:pt idx="3">
                  <c:v>36.5</c:v>
                </c:pt>
                <c:pt idx="4">
                  <c:v>47.75</c:v>
                </c:pt>
                <c:pt idx="5">
                  <c:v>61</c:v>
                </c:pt>
                <c:pt idx="6">
                  <c:v>72.5</c:v>
                </c:pt>
                <c:pt idx="7">
                  <c:v>84.25</c:v>
                </c:pt>
                <c:pt idx="8">
                  <c:v>96.25</c:v>
                </c:pt>
                <c:pt idx="9">
                  <c:v>109.25</c:v>
                </c:pt>
                <c:pt idx="10">
                  <c:v>120.75</c:v>
                </c:pt>
                <c:pt idx="11">
                  <c:v>132</c:v>
                </c:pt>
                <c:pt idx="12">
                  <c:v>142.5</c:v>
                </c:pt>
                <c:pt idx="13">
                  <c:v>153.5</c:v>
                </c:pt>
                <c:pt idx="14">
                  <c:v>169</c:v>
                </c:pt>
                <c:pt idx="15">
                  <c:v>177.75</c:v>
                </c:pt>
                <c:pt idx="16">
                  <c:v>192.5</c:v>
                </c:pt>
                <c:pt idx="17">
                  <c:v>202.25</c:v>
                </c:pt>
                <c:pt idx="18">
                  <c:v>216.75</c:v>
                </c:pt>
                <c:pt idx="19">
                  <c:v>229</c:v>
                </c:pt>
                <c:pt idx="20">
                  <c:v>241.25</c:v>
                </c:pt>
                <c:pt idx="21">
                  <c:v>251.25</c:v>
                </c:pt>
                <c:pt idx="22">
                  <c:v>266.25</c:v>
                </c:pt>
                <c:pt idx="23">
                  <c:v>276.5</c:v>
                </c:pt>
                <c:pt idx="24">
                  <c:v>288.25</c:v>
                </c:pt>
                <c:pt idx="25">
                  <c:v>299.75</c:v>
                </c:pt>
                <c:pt idx="26">
                  <c:v>314</c:v>
                </c:pt>
                <c:pt idx="27">
                  <c:v>323.75</c:v>
                </c:pt>
                <c:pt idx="28">
                  <c:v>337</c:v>
                </c:pt>
                <c:pt idx="29">
                  <c:v>348.75</c:v>
                </c:pt>
              </c:numCache>
            </c:numRef>
          </c:xVal>
          <c:yVal>
            <c:numRef>
              <c:f>Sheet1!$D$5:$D$34</c:f>
              <c:numCache>
                <c:formatCode>General</c:formatCode>
                <c:ptCount val="30"/>
                <c:pt idx="0">
                  <c:v>24</c:v>
                </c:pt>
                <c:pt idx="1">
                  <c:v>24</c:v>
                </c:pt>
                <c:pt idx="2">
                  <c:v>23.5</c:v>
                </c:pt>
                <c:pt idx="3">
                  <c:v>21</c:v>
                </c:pt>
                <c:pt idx="4">
                  <c:v>18.5</c:v>
                </c:pt>
                <c:pt idx="5">
                  <c:v>16</c:v>
                </c:pt>
                <c:pt idx="6">
                  <c:v>13</c:v>
                </c:pt>
                <c:pt idx="7">
                  <c:v>11.5</c:v>
                </c:pt>
                <c:pt idx="8">
                  <c:v>11</c:v>
                </c:pt>
                <c:pt idx="9">
                  <c:v>11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7B-0B46-978D-221882A1B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420032"/>
        <c:axId val="1638837520"/>
      </c:scatterChart>
      <c:valAx>
        <c:axId val="126842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Elapsed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37520"/>
        <c:crosses val="autoZero"/>
        <c:crossBetween val="midCat"/>
      </c:valAx>
      <c:valAx>
        <c:axId val="16388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Brix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2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</a:t>
            </a:r>
            <a:r>
              <a:rPr lang="en-US" baseline="0"/>
              <a:t> vs Hours Elapsed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Sheet1!$C$5:$C$25</c:f>
              <c:numCache>
                <c:formatCode>General</c:formatCode>
                <c:ptCount val="21"/>
                <c:pt idx="0">
                  <c:v>0</c:v>
                </c:pt>
                <c:pt idx="1">
                  <c:v>14.25</c:v>
                </c:pt>
                <c:pt idx="2">
                  <c:v>26</c:v>
                </c:pt>
                <c:pt idx="3">
                  <c:v>36.5</c:v>
                </c:pt>
                <c:pt idx="4">
                  <c:v>47.75</c:v>
                </c:pt>
                <c:pt idx="5">
                  <c:v>61</c:v>
                </c:pt>
                <c:pt idx="6">
                  <c:v>72.5</c:v>
                </c:pt>
                <c:pt idx="7">
                  <c:v>84.25</c:v>
                </c:pt>
                <c:pt idx="8">
                  <c:v>96.25</c:v>
                </c:pt>
                <c:pt idx="9">
                  <c:v>109.25</c:v>
                </c:pt>
                <c:pt idx="10">
                  <c:v>120.75</c:v>
                </c:pt>
                <c:pt idx="11">
                  <c:v>132</c:v>
                </c:pt>
                <c:pt idx="12">
                  <c:v>142.5</c:v>
                </c:pt>
                <c:pt idx="13">
                  <c:v>153.5</c:v>
                </c:pt>
                <c:pt idx="14">
                  <c:v>169</c:v>
                </c:pt>
                <c:pt idx="15">
                  <c:v>177.75</c:v>
                </c:pt>
                <c:pt idx="16">
                  <c:v>192.5</c:v>
                </c:pt>
                <c:pt idx="17">
                  <c:v>202.25</c:v>
                </c:pt>
                <c:pt idx="18">
                  <c:v>216.75</c:v>
                </c:pt>
                <c:pt idx="19">
                  <c:v>229</c:v>
                </c:pt>
                <c:pt idx="20">
                  <c:v>241.25</c:v>
                </c:pt>
              </c:numCache>
            </c:numRef>
          </c:xVal>
          <c:yVal>
            <c:numRef>
              <c:f>Sheet1!$F$5:$F$25</c:f>
              <c:numCache>
                <c:formatCode>General</c:formatCode>
                <c:ptCount val="21"/>
                <c:pt idx="0">
                  <c:v>3.8</c:v>
                </c:pt>
                <c:pt idx="1">
                  <c:v>3.7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3.3</c:v>
                </c:pt>
                <c:pt idx="6">
                  <c:v>3.4</c:v>
                </c:pt>
                <c:pt idx="7">
                  <c:v>3.5</c:v>
                </c:pt>
                <c:pt idx="8">
                  <c:v>3.6</c:v>
                </c:pt>
                <c:pt idx="9">
                  <c:v>3.6</c:v>
                </c:pt>
                <c:pt idx="10">
                  <c:v>3.7</c:v>
                </c:pt>
                <c:pt idx="11">
                  <c:v>3.7</c:v>
                </c:pt>
                <c:pt idx="12">
                  <c:v>3.7</c:v>
                </c:pt>
                <c:pt idx="13">
                  <c:v>3.6</c:v>
                </c:pt>
                <c:pt idx="14">
                  <c:v>3.7</c:v>
                </c:pt>
                <c:pt idx="15">
                  <c:v>3.7</c:v>
                </c:pt>
                <c:pt idx="16">
                  <c:v>3.8</c:v>
                </c:pt>
                <c:pt idx="17">
                  <c:v>3.8</c:v>
                </c:pt>
                <c:pt idx="18">
                  <c:v>3.8</c:v>
                </c:pt>
                <c:pt idx="19">
                  <c:v>3.8</c:v>
                </c:pt>
                <c:pt idx="20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DF-4848-9DD7-AE5F3190F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991552"/>
        <c:axId val="1274357776"/>
      </c:scatterChart>
      <c:valAx>
        <c:axId val="127499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Elapsed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57776"/>
        <c:crosses val="autoZero"/>
        <c:crossBetween val="midCat"/>
      </c:valAx>
      <c:valAx>
        <c:axId val="12743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99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</a:t>
            </a:r>
            <a:r>
              <a:rPr lang="en-US" baseline="0"/>
              <a:t> vs Hours Elapsed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Sheet1!$C$5:$C$25</c:f>
              <c:numCache>
                <c:formatCode>General</c:formatCode>
                <c:ptCount val="21"/>
                <c:pt idx="0">
                  <c:v>0</c:v>
                </c:pt>
                <c:pt idx="1">
                  <c:v>14.25</c:v>
                </c:pt>
                <c:pt idx="2">
                  <c:v>26</c:v>
                </c:pt>
                <c:pt idx="3">
                  <c:v>36.5</c:v>
                </c:pt>
                <c:pt idx="4">
                  <c:v>47.75</c:v>
                </c:pt>
                <c:pt idx="5">
                  <c:v>61</c:v>
                </c:pt>
                <c:pt idx="6">
                  <c:v>72.5</c:v>
                </c:pt>
                <c:pt idx="7">
                  <c:v>84.25</c:v>
                </c:pt>
                <c:pt idx="8">
                  <c:v>96.25</c:v>
                </c:pt>
                <c:pt idx="9">
                  <c:v>109.25</c:v>
                </c:pt>
                <c:pt idx="10">
                  <c:v>120.75</c:v>
                </c:pt>
                <c:pt idx="11">
                  <c:v>132</c:v>
                </c:pt>
                <c:pt idx="12">
                  <c:v>142.5</c:v>
                </c:pt>
                <c:pt idx="13">
                  <c:v>153.5</c:v>
                </c:pt>
                <c:pt idx="14">
                  <c:v>169</c:v>
                </c:pt>
                <c:pt idx="15">
                  <c:v>177.75</c:v>
                </c:pt>
                <c:pt idx="16">
                  <c:v>192.5</c:v>
                </c:pt>
                <c:pt idx="17">
                  <c:v>202.25</c:v>
                </c:pt>
                <c:pt idx="18">
                  <c:v>216.75</c:v>
                </c:pt>
                <c:pt idx="19">
                  <c:v>229</c:v>
                </c:pt>
                <c:pt idx="20">
                  <c:v>241.25</c:v>
                </c:pt>
              </c:numCache>
            </c:numRef>
          </c:xVal>
          <c:yVal>
            <c:numRef>
              <c:f>Sheet1!$G$5:$G$25</c:f>
              <c:numCache>
                <c:formatCode>General</c:formatCode>
                <c:ptCount val="21"/>
                <c:pt idx="0">
                  <c:v>1.08</c:v>
                </c:pt>
                <c:pt idx="1">
                  <c:v>1.0900000000000001</c:v>
                </c:pt>
                <c:pt idx="2">
                  <c:v>1.35</c:v>
                </c:pt>
                <c:pt idx="3">
                  <c:v>0.99</c:v>
                </c:pt>
                <c:pt idx="4">
                  <c:v>1.03</c:v>
                </c:pt>
                <c:pt idx="5">
                  <c:v>0.97</c:v>
                </c:pt>
                <c:pt idx="6">
                  <c:v>1.07</c:v>
                </c:pt>
                <c:pt idx="7">
                  <c:v>1.0900000000000001</c:v>
                </c:pt>
                <c:pt idx="8">
                  <c:v>0.94</c:v>
                </c:pt>
                <c:pt idx="9">
                  <c:v>0.93</c:v>
                </c:pt>
                <c:pt idx="10">
                  <c:v>0.98</c:v>
                </c:pt>
                <c:pt idx="11">
                  <c:v>1.06</c:v>
                </c:pt>
                <c:pt idx="12">
                  <c:v>1.17</c:v>
                </c:pt>
                <c:pt idx="13">
                  <c:v>1.22</c:v>
                </c:pt>
                <c:pt idx="14">
                  <c:v>1.32</c:v>
                </c:pt>
                <c:pt idx="15">
                  <c:v>1.22</c:v>
                </c:pt>
                <c:pt idx="16">
                  <c:v>1.28</c:v>
                </c:pt>
                <c:pt idx="17">
                  <c:v>1.18</c:v>
                </c:pt>
                <c:pt idx="18">
                  <c:v>1.26</c:v>
                </c:pt>
                <c:pt idx="19">
                  <c:v>1.25</c:v>
                </c:pt>
                <c:pt idx="20">
                  <c:v>1.07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90-994F-B78C-EFDAB8DD5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215088"/>
        <c:axId val="2067216800"/>
      </c:scatterChart>
      <c:valAx>
        <c:axId val="20672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Elapsed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216800"/>
        <c:crosses val="autoZero"/>
        <c:crossBetween val="midCat"/>
      </c:valAx>
      <c:valAx>
        <c:axId val="20672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  <a:r>
                  <a:rPr lang="en-US" baseline="0"/>
                  <a:t>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21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Temp.</a:t>
            </a:r>
            <a:r>
              <a:rPr lang="en-US" baseline="0"/>
              <a:t> vs Hours Elapsed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Sheet1!$C$5:$C$34</c:f>
              <c:numCache>
                <c:formatCode>General</c:formatCode>
                <c:ptCount val="30"/>
                <c:pt idx="0">
                  <c:v>0</c:v>
                </c:pt>
                <c:pt idx="1">
                  <c:v>14.25</c:v>
                </c:pt>
                <c:pt idx="2">
                  <c:v>26</c:v>
                </c:pt>
                <c:pt idx="3">
                  <c:v>36.5</c:v>
                </c:pt>
                <c:pt idx="4">
                  <c:v>47.75</c:v>
                </c:pt>
                <c:pt idx="5">
                  <c:v>61</c:v>
                </c:pt>
                <c:pt idx="6">
                  <c:v>72.5</c:v>
                </c:pt>
                <c:pt idx="7">
                  <c:v>84.25</c:v>
                </c:pt>
                <c:pt idx="8">
                  <c:v>96.25</c:v>
                </c:pt>
                <c:pt idx="9">
                  <c:v>109.25</c:v>
                </c:pt>
                <c:pt idx="10">
                  <c:v>120.75</c:v>
                </c:pt>
                <c:pt idx="11">
                  <c:v>132</c:v>
                </c:pt>
                <c:pt idx="12">
                  <c:v>142.5</c:v>
                </c:pt>
                <c:pt idx="13">
                  <c:v>153.5</c:v>
                </c:pt>
                <c:pt idx="14">
                  <c:v>169</c:v>
                </c:pt>
                <c:pt idx="15">
                  <c:v>177.75</c:v>
                </c:pt>
                <c:pt idx="16">
                  <c:v>192.5</c:v>
                </c:pt>
                <c:pt idx="17">
                  <c:v>202.25</c:v>
                </c:pt>
                <c:pt idx="18">
                  <c:v>216.75</c:v>
                </c:pt>
                <c:pt idx="19">
                  <c:v>229</c:v>
                </c:pt>
                <c:pt idx="20">
                  <c:v>241.25</c:v>
                </c:pt>
                <c:pt idx="21">
                  <c:v>251.25</c:v>
                </c:pt>
                <c:pt idx="22">
                  <c:v>266.25</c:v>
                </c:pt>
                <c:pt idx="23">
                  <c:v>276.5</c:v>
                </c:pt>
                <c:pt idx="24">
                  <c:v>288.25</c:v>
                </c:pt>
                <c:pt idx="25">
                  <c:v>299.75</c:v>
                </c:pt>
                <c:pt idx="26">
                  <c:v>314</c:v>
                </c:pt>
                <c:pt idx="27">
                  <c:v>323.75</c:v>
                </c:pt>
                <c:pt idx="28">
                  <c:v>337</c:v>
                </c:pt>
                <c:pt idx="29">
                  <c:v>348.75</c:v>
                </c:pt>
              </c:numCache>
            </c:numRef>
          </c:xVal>
          <c:yVal>
            <c:numRef>
              <c:f>Sheet1!$H$5:$H$34</c:f>
              <c:numCache>
                <c:formatCode>General</c:formatCode>
                <c:ptCount val="30"/>
                <c:pt idx="0">
                  <c:v>24.6</c:v>
                </c:pt>
                <c:pt idx="1">
                  <c:v>22</c:v>
                </c:pt>
                <c:pt idx="2">
                  <c:v>21.5</c:v>
                </c:pt>
                <c:pt idx="3">
                  <c:v>22.4</c:v>
                </c:pt>
                <c:pt idx="4">
                  <c:v>24.4</c:v>
                </c:pt>
                <c:pt idx="5">
                  <c:v>23.5</c:v>
                </c:pt>
                <c:pt idx="6">
                  <c:v>22.5</c:v>
                </c:pt>
                <c:pt idx="7">
                  <c:v>22.9</c:v>
                </c:pt>
                <c:pt idx="8">
                  <c:v>22.2</c:v>
                </c:pt>
                <c:pt idx="9">
                  <c:v>22.8</c:v>
                </c:pt>
                <c:pt idx="10">
                  <c:v>22.3</c:v>
                </c:pt>
                <c:pt idx="11">
                  <c:v>22.9</c:v>
                </c:pt>
                <c:pt idx="12">
                  <c:v>23.4</c:v>
                </c:pt>
                <c:pt idx="13">
                  <c:v>22</c:v>
                </c:pt>
                <c:pt idx="14">
                  <c:v>26.5</c:v>
                </c:pt>
                <c:pt idx="15">
                  <c:v>21.3</c:v>
                </c:pt>
                <c:pt idx="16">
                  <c:v>22.4</c:v>
                </c:pt>
                <c:pt idx="17">
                  <c:v>21.4</c:v>
                </c:pt>
                <c:pt idx="18">
                  <c:v>22.3</c:v>
                </c:pt>
                <c:pt idx="19">
                  <c:v>21.7</c:v>
                </c:pt>
                <c:pt idx="20">
                  <c:v>22.2</c:v>
                </c:pt>
                <c:pt idx="21">
                  <c:v>22.6</c:v>
                </c:pt>
                <c:pt idx="22">
                  <c:v>21.2</c:v>
                </c:pt>
                <c:pt idx="23">
                  <c:v>21.6</c:v>
                </c:pt>
                <c:pt idx="24">
                  <c:v>21.3</c:v>
                </c:pt>
                <c:pt idx="25">
                  <c:v>21.6</c:v>
                </c:pt>
                <c:pt idx="26">
                  <c:v>21.6</c:v>
                </c:pt>
                <c:pt idx="27">
                  <c:v>21.4</c:v>
                </c:pt>
                <c:pt idx="28">
                  <c:v>21.7</c:v>
                </c:pt>
                <c:pt idx="29">
                  <c:v>21.8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EA-0D4B-AAE4-82DF5F9A6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239888"/>
        <c:axId val="1274563888"/>
      </c:scatterChart>
      <c:valAx>
        <c:axId val="127423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Elapsed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63888"/>
        <c:crosses val="autoZero"/>
        <c:crossBetween val="midCat"/>
      </c:valAx>
      <c:valAx>
        <c:axId val="12745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Temp.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23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322592</xdr:colOff>
      <xdr:row>4</xdr:row>
      <xdr:rowOff>310807</xdr:rowOff>
    </xdr:from>
    <xdr:to>
      <xdr:col>28</xdr:col>
      <xdr:colOff>278142</xdr:colOff>
      <xdr:row>12</xdr:row>
      <xdr:rowOff>592209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281822-9203-16B2-1A14-B8C1900DE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343242</xdr:colOff>
      <xdr:row>2</xdr:row>
      <xdr:rowOff>308918</xdr:rowOff>
    </xdr:from>
    <xdr:to>
      <xdr:col>16</xdr:col>
      <xdr:colOff>675045</xdr:colOff>
      <xdr:row>9</xdr:row>
      <xdr:rowOff>114414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A0403A-1207-A047-A39C-747F0D97A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294044</xdr:colOff>
      <xdr:row>9</xdr:row>
      <xdr:rowOff>258803</xdr:rowOff>
    </xdr:from>
    <xdr:to>
      <xdr:col>16</xdr:col>
      <xdr:colOff>755135</xdr:colOff>
      <xdr:row>15</xdr:row>
      <xdr:rowOff>80089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226CAE-A495-EED4-9F86-5257DC950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305486</xdr:colOff>
      <xdr:row>16</xdr:row>
      <xdr:rowOff>18533</xdr:rowOff>
    </xdr:from>
    <xdr:to>
      <xdr:col>17</xdr:col>
      <xdr:colOff>0</xdr:colOff>
      <xdr:row>25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5A9D97-560D-D95C-7246-9B734850A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705938</xdr:colOff>
      <xdr:row>14</xdr:row>
      <xdr:rowOff>464751</xdr:rowOff>
    </xdr:from>
    <xdr:to>
      <xdr:col>25</xdr:col>
      <xdr:colOff>304800</xdr:colOff>
      <xdr:row>25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B14FCC-74AD-EAF2-8512-472899CC3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AF3A-D16B-5E49-A07F-88E6F254E492}">
  <dimension ref="B2:I38"/>
  <sheetViews>
    <sheetView tabSelected="1" topLeftCell="A16" zoomScale="67" workbookViewId="0">
      <selection activeCell="D24" sqref="D24"/>
    </sheetView>
  </sheetViews>
  <sheetFormatPr baseColWidth="10" defaultRowHeight="16" x14ac:dyDescent="0.2"/>
  <cols>
    <col min="2" max="2" width="31.33203125" customWidth="1"/>
    <col min="3" max="3" width="34.83203125" customWidth="1"/>
    <col min="4" max="4" width="62.83203125" customWidth="1"/>
    <col min="5" max="5" width="37.5" customWidth="1"/>
    <col min="6" max="6" width="13.33203125" customWidth="1"/>
    <col min="7" max="7" width="11.83203125" customWidth="1"/>
    <col min="9" max="9" width="41.5" customWidth="1"/>
  </cols>
  <sheetData>
    <row r="2" spans="2:9" x14ac:dyDescent="0.2">
      <c r="B2" t="s">
        <v>7</v>
      </c>
      <c r="C2" t="s">
        <v>9</v>
      </c>
      <c r="D2" t="s">
        <v>8</v>
      </c>
      <c r="E2" t="s">
        <v>12</v>
      </c>
    </row>
    <row r="3" spans="2:9" ht="110" customHeight="1" x14ac:dyDescent="0.2">
      <c r="I3" s="1"/>
    </row>
    <row r="4" spans="2:9" x14ac:dyDescent="0.2">
      <c r="B4" t="s">
        <v>1</v>
      </c>
      <c r="C4" t="s">
        <v>0</v>
      </c>
      <c r="D4" t="s">
        <v>11</v>
      </c>
      <c r="E4" t="s">
        <v>2</v>
      </c>
      <c r="F4" t="s">
        <v>3</v>
      </c>
      <c r="G4" t="s">
        <v>10</v>
      </c>
      <c r="H4" t="s">
        <v>5</v>
      </c>
      <c r="I4" t="s">
        <v>4</v>
      </c>
    </row>
    <row r="5" spans="2:9" ht="68" x14ac:dyDescent="0.2">
      <c r="B5" t="s">
        <v>13</v>
      </c>
      <c r="C5">
        <v>0</v>
      </c>
      <c r="D5">
        <v>24</v>
      </c>
      <c r="E5">
        <f>1+(D5/(258.6-(D5/0.879)*0.88))</f>
        <v>1.1023136979883543</v>
      </c>
      <c r="F5">
        <v>3.8</v>
      </c>
      <c r="G5">
        <v>1.08</v>
      </c>
      <c r="H5">
        <v>24.6</v>
      </c>
      <c r="I5" s="1" t="s">
        <v>6</v>
      </c>
    </row>
    <row r="6" spans="2:9" ht="58" customHeight="1" x14ac:dyDescent="0.2">
      <c r="B6" t="s">
        <v>14</v>
      </c>
      <c r="C6">
        <v>14.25</v>
      </c>
      <c r="D6">
        <v>24</v>
      </c>
      <c r="E6">
        <f t="shared" ref="E6:E35" si="0">1+(D6/(258.6-(D6/0.879)*0.88))</f>
        <v>1.1023136979883543</v>
      </c>
      <c r="F6">
        <v>3.7</v>
      </c>
      <c r="G6">
        <v>1.0900000000000001</v>
      </c>
      <c r="H6">
        <v>22</v>
      </c>
      <c r="I6" s="2" t="s">
        <v>15</v>
      </c>
    </row>
    <row r="7" spans="2:9" ht="35" customHeight="1" x14ac:dyDescent="0.2">
      <c r="B7" t="s">
        <v>16</v>
      </c>
      <c r="C7">
        <v>26</v>
      </c>
      <c r="D7">
        <v>23.5</v>
      </c>
      <c r="E7">
        <f t="shared" si="0"/>
        <v>1.0999688330895796</v>
      </c>
      <c r="F7">
        <v>3.6</v>
      </c>
      <c r="G7">
        <v>1.35</v>
      </c>
      <c r="H7">
        <v>21.5</v>
      </c>
    </row>
    <row r="8" spans="2:9" ht="35" customHeight="1" x14ac:dyDescent="0.2">
      <c r="B8" t="s">
        <v>17</v>
      </c>
      <c r="C8">
        <v>36.5</v>
      </c>
      <c r="D8">
        <v>21</v>
      </c>
      <c r="E8">
        <f t="shared" si="0"/>
        <v>1.0883927263115252</v>
      </c>
      <c r="F8">
        <v>3.4</v>
      </c>
      <c r="G8">
        <v>0.99</v>
      </c>
      <c r="H8">
        <v>22.4</v>
      </c>
      <c r="I8" s="2" t="s">
        <v>18</v>
      </c>
    </row>
    <row r="9" spans="2:9" ht="33" customHeight="1" x14ac:dyDescent="0.2">
      <c r="B9" t="s">
        <v>19</v>
      </c>
      <c r="C9">
        <v>47.75</v>
      </c>
      <c r="D9">
        <v>18.5</v>
      </c>
      <c r="E9">
        <f t="shared" si="0"/>
        <v>1.077057983389992</v>
      </c>
      <c r="F9">
        <v>3.2</v>
      </c>
      <c r="G9">
        <v>1.03</v>
      </c>
      <c r="H9">
        <v>24.4</v>
      </c>
      <c r="I9" s="2" t="s">
        <v>20</v>
      </c>
    </row>
    <row r="10" spans="2:9" ht="54" customHeight="1" x14ac:dyDescent="0.2">
      <c r="B10" t="s">
        <v>21</v>
      </c>
      <c r="C10">
        <v>61</v>
      </c>
      <c r="D10">
        <v>16</v>
      </c>
      <c r="E10">
        <f t="shared" si="0"/>
        <v>1.0659571334909725</v>
      </c>
      <c r="F10">
        <v>3.3</v>
      </c>
      <c r="G10">
        <v>0.97</v>
      </c>
      <c r="H10">
        <v>23.5</v>
      </c>
    </row>
    <row r="11" spans="2:9" ht="46" customHeight="1" x14ac:dyDescent="0.2">
      <c r="B11" t="s">
        <v>22</v>
      </c>
      <c r="C11">
        <v>72.5</v>
      </c>
      <c r="D11">
        <v>13</v>
      </c>
      <c r="E11">
        <f t="shared" si="0"/>
        <v>1.0529347837164509</v>
      </c>
      <c r="F11">
        <v>3.4</v>
      </c>
      <c r="G11">
        <v>1.07</v>
      </c>
      <c r="H11">
        <v>22.5</v>
      </c>
    </row>
    <row r="12" spans="2:9" ht="63" customHeight="1" x14ac:dyDescent="0.2">
      <c r="B12" t="s">
        <v>23</v>
      </c>
      <c r="C12">
        <v>84.25</v>
      </c>
      <c r="D12">
        <v>11.5</v>
      </c>
      <c r="E12">
        <f t="shared" si="0"/>
        <v>1.0465423266513008</v>
      </c>
      <c r="F12">
        <v>3.5</v>
      </c>
      <c r="G12">
        <v>1.0900000000000001</v>
      </c>
      <c r="H12">
        <v>22.9</v>
      </c>
    </row>
    <row r="13" spans="2:9" ht="58" customHeight="1" x14ac:dyDescent="0.2">
      <c r="B13" t="s">
        <v>24</v>
      </c>
      <c r="C13">
        <v>96.25</v>
      </c>
      <c r="D13">
        <v>11</v>
      </c>
      <c r="E13">
        <f t="shared" si="0"/>
        <v>1.0444287398669481</v>
      </c>
      <c r="F13">
        <v>3.6</v>
      </c>
      <c r="G13">
        <v>0.94</v>
      </c>
      <c r="H13">
        <v>22.2</v>
      </c>
    </row>
    <row r="14" spans="2:9" ht="49" customHeight="1" x14ac:dyDescent="0.2">
      <c r="B14" t="s">
        <v>25</v>
      </c>
      <c r="C14">
        <v>109.25</v>
      </c>
      <c r="D14">
        <v>11</v>
      </c>
      <c r="E14">
        <f t="shared" si="0"/>
        <v>1.0444287398669481</v>
      </c>
      <c r="F14">
        <v>3.6</v>
      </c>
      <c r="G14">
        <v>0.93</v>
      </c>
      <c r="H14">
        <v>22.8</v>
      </c>
    </row>
    <row r="15" spans="2:9" ht="49" customHeight="1" x14ac:dyDescent="0.2">
      <c r="B15" t="s">
        <v>26</v>
      </c>
      <c r="C15">
        <v>120.75</v>
      </c>
      <c r="D15">
        <v>10.5</v>
      </c>
      <c r="E15">
        <f t="shared" si="0"/>
        <v>1.0423236822772934</v>
      </c>
      <c r="F15">
        <v>3.7</v>
      </c>
      <c r="G15">
        <v>0.98</v>
      </c>
      <c r="H15">
        <v>22.3</v>
      </c>
    </row>
    <row r="16" spans="2:9" ht="46" customHeight="1" x14ac:dyDescent="0.2">
      <c r="B16" t="s">
        <v>28</v>
      </c>
      <c r="C16">
        <f>C15+11.25</f>
        <v>132</v>
      </c>
      <c r="D16">
        <v>10.5</v>
      </c>
      <c r="E16">
        <f t="shared" si="0"/>
        <v>1.0423236822772934</v>
      </c>
      <c r="F16">
        <v>3.7</v>
      </c>
      <c r="G16">
        <v>1.06</v>
      </c>
      <c r="H16">
        <v>22.9</v>
      </c>
    </row>
    <row r="17" spans="2:9" ht="45" customHeight="1" x14ac:dyDescent="0.2">
      <c r="B17" t="s">
        <v>27</v>
      </c>
      <c r="C17">
        <f>C16+10.5</f>
        <v>142.5</v>
      </c>
      <c r="D17">
        <v>10.5</v>
      </c>
      <c r="E17">
        <f t="shared" si="0"/>
        <v>1.0423236822772934</v>
      </c>
      <c r="F17">
        <v>3.7</v>
      </c>
      <c r="G17">
        <v>1.17</v>
      </c>
      <c r="H17">
        <v>23.4</v>
      </c>
    </row>
    <row r="18" spans="2:9" ht="51" customHeight="1" x14ac:dyDescent="0.2">
      <c r="B18" t="s">
        <v>31</v>
      </c>
      <c r="C18">
        <f>C17+11</f>
        <v>153.5</v>
      </c>
      <c r="D18">
        <v>10</v>
      </c>
      <c r="E18">
        <f t="shared" si="0"/>
        <v>1.0402271023580678</v>
      </c>
      <c r="F18">
        <v>3.6</v>
      </c>
      <c r="G18">
        <v>1.22</v>
      </c>
      <c r="H18">
        <v>22</v>
      </c>
    </row>
    <row r="19" spans="2:9" ht="51" customHeight="1" x14ac:dyDescent="0.2">
      <c r="B19" t="s">
        <v>30</v>
      </c>
      <c r="C19">
        <f>C18+15.5</f>
        <v>169</v>
      </c>
      <c r="D19">
        <v>10</v>
      </c>
      <c r="E19">
        <f t="shared" si="0"/>
        <v>1.0402271023580678</v>
      </c>
      <c r="F19">
        <v>3.7</v>
      </c>
      <c r="G19">
        <v>1.32</v>
      </c>
      <c r="H19">
        <v>26.5</v>
      </c>
    </row>
    <row r="20" spans="2:9" ht="39" customHeight="1" x14ac:dyDescent="0.2">
      <c r="B20" t="s">
        <v>29</v>
      </c>
      <c r="C20">
        <f>C19+8.75</f>
        <v>177.75</v>
      </c>
      <c r="D20">
        <v>10</v>
      </c>
      <c r="E20">
        <f t="shared" si="0"/>
        <v>1.0402271023580678</v>
      </c>
      <c r="F20">
        <v>3.7</v>
      </c>
      <c r="G20">
        <v>1.22</v>
      </c>
      <c r="H20">
        <v>21.3</v>
      </c>
      <c r="I20" t="s">
        <v>36</v>
      </c>
    </row>
    <row r="21" spans="2:9" ht="62" customHeight="1" x14ac:dyDescent="0.2">
      <c r="B21" t="s">
        <v>32</v>
      </c>
      <c r="C21">
        <f>C20+14.75</f>
        <v>192.5</v>
      </c>
      <c r="D21">
        <v>9.5</v>
      </c>
      <c r="E21">
        <f t="shared" si="0"/>
        <v>1.0381389489991752</v>
      </c>
      <c r="F21">
        <v>3.8</v>
      </c>
      <c r="G21">
        <v>1.28</v>
      </c>
      <c r="H21">
        <v>22.4</v>
      </c>
    </row>
    <row r="22" spans="2:9" ht="39" customHeight="1" x14ac:dyDescent="0.2">
      <c r="B22" t="s">
        <v>33</v>
      </c>
      <c r="C22">
        <f>C21+9.75</f>
        <v>202.25</v>
      </c>
      <c r="D22">
        <v>9.5</v>
      </c>
      <c r="E22">
        <f t="shared" si="0"/>
        <v>1.0381389489991752</v>
      </c>
      <c r="F22">
        <v>3.8</v>
      </c>
      <c r="G22">
        <v>1.18</v>
      </c>
      <c r="H22">
        <v>21.4</v>
      </c>
    </row>
    <row r="23" spans="2:9" ht="50" customHeight="1" x14ac:dyDescent="0.2">
      <c r="B23" t="s">
        <v>35</v>
      </c>
      <c r="C23">
        <f>C22+14.5</f>
        <v>216.75</v>
      </c>
      <c r="D23">
        <v>9.5</v>
      </c>
      <c r="E23">
        <f t="shared" si="0"/>
        <v>1.0381389489991752</v>
      </c>
      <c r="F23">
        <v>3.8</v>
      </c>
      <c r="G23">
        <v>1.26</v>
      </c>
      <c r="H23">
        <v>22.3</v>
      </c>
    </row>
    <row r="24" spans="2:9" ht="46" customHeight="1" x14ac:dyDescent="0.2">
      <c r="B24" t="s">
        <v>34</v>
      </c>
      <c r="C24">
        <f>C23+12.25</f>
        <v>229</v>
      </c>
      <c r="D24">
        <v>9.5</v>
      </c>
      <c r="E24">
        <f t="shared" si="0"/>
        <v>1.0381389489991752</v>
      </c>
      <c r="F24">
        <v>3.8</v>
      </c>
      <c r="G24">
        <v>1.25</v>
      </c>
      <c r="H24">
        <v>21.7</v>
      </c>
    </row>
    <row r="25" spans="2:9" ht="56" customHeight="1" x14ac:dyDescent="0.2">
      <c r="B25" t="s">
        <v>37</v>
      </c>
      <c r="C25">
        <f>C24+12.25</f>
        <v>241.25</v>
      </c>
      <c r="D25">
        <v>9.5</v>
      </c>
      <c r="E25">
        <f t="shared" si="0"/>
        <v>1.0381389489991752</v>
      </c>
      <c r="F25">
        <v>3.8</v>
      </c>
      <c r="G25">
        <v>1.07</v>
      </c>
      <c r="H25">
        <v>22.2</v>
      </c>
    </row>
    <row r="26" spans="2:9" ht="54" customHeight="1" x14ac:dyDescent="0.2">
      <c r="B26" t="s">
        <v>38</v>
      </c>
      <c r="C26">
        <f>C25+10</f>
        <v>251.25</v>
      </c>
      <c r="D26">
        <v>9.5</v>
      </c>
      <c r="E26">
        <f t="shared" si="0"/>
        <v>1.0381389489991752</v>
      </c>
      <c r="F26">
        <v>3.8</v>
      </c>
      <c r="G26">
        <v>1.25</v>
      </c>
      <c r="H26">
        <v>22.6</v>
      </c>
    </row>
    <row r="27" spans="2:9" ht="46" customHeight="1" x14ac:dyDescent="0.2">
      <c r="B27" t="s">
        <v>39</v>
      </c>
      <c r="C27">
        <f>C26+15</f>
        <v>266.25</v>
      </c>
      <c r="D27">
        <v>9</v>
      </c>
      <c r="E27">
        <f t="shared" si="0"/>
        <v>1.0360591715005374</v>
      </c>
      <c r="F27">
        <v>3.9</v>
      </c>
      <c r="G27">
        <v>1.29</v>
      </c>
      <c r="H27">
        <v>21.2</v>
      </c>
    </row>
    <row r="28" spans="2:9" ht="50" customHeight="1" x14ac:dyDescent="0.2">
      <c r="B28" t="s">
        <v>40</v>
      </c>
      <c r="C28">
        <f>C27+10.25</f>
        <v>276.5</v>
      </c>
      <c r="D28">
        <v>9</v>
      </c>
      <c r="E28">
        <f t="shared" si="0"/>
        <v>1.0360591715005374</v>
      </c>
      <c r="F28">
        <v>3.9</v>
      </c>
      <c r="G28">
        <v>1.29</v>
      </c>
      <c r="H28">
        <v>21.6</v>
      </c>
    </row>
    <row r="29" spans="2:9" ht="55" customHeight="1" x14ac:dyDescent="0.2">
      <c r="B29" t="s">
        <v>41</v>
      </c>
      <c r="C29">
        <f>C28+11.75</f>
        <v>288.25</v>
      </c>
      <c r="D29">
        <v>9</v>
      </c>
      <c r="E29">
        <f t="shared" si="0"/>
        <v>1.0360591715005374</v>
      </c>
      <c r="F29">
        <v>3.9</v>
      </c>
      <c r="G29">
        <v>1.27</v>
      </c>
      <c r="H29">
        <v>21.3</v>
      </c>
    </row>
    <row r="30" spans="2:9" ht="53" customHeight="1" x14ac:dyDescent="0.2">
      <c r="B30" t="s">
        <v>42</v>
      </c>
      <c r="C30">
        <f>C29+11.5</f>
        <v>299.75</v>
      </c>
      <c r="D30">
        <v>9</v>
      </c>
      <c r="E30">
        <f t="shared" si="0"/>
        <v>1.0360591715005374</v>
      </c>
      <c r="F30">
        <v>3.9</v>
      </c>
      <c r="G30">
        <v>1.27</v>
      </c>
      <c r="H30">
        <v>21.6</v>
      </c>
    </row>
    <row r="31" spans="2:9" ht="45" customHeight="1" x14ac:dyDescent="0.2">
      <c r="B31" t="s">
        <v>43</v>
      </c>
      <c r="C31">
        <f>C30+14.25</f>
        <v>314</v>
      </c>
      <c r="D31">
        <v>9</v>
      </c>
      <c r="E31">
        <f t="shared" si="0"/>
        <v>1.0360591715005374</v>
      </c>
      <c r="F31">
        <v>3.9</v>
      </c>
      <c r="G31">
        <v>1.26</v>
      </c>
      <c r="H31">
        <v>21.6</v>
      </c>
    </row>
    <row r="32" spans="2:9" ht="57" customHeight="1" x14ac:dyDescent="0.2">
      <c r="B32" t="s">
        <v>44</v>
      </c>
      <c r="C32">
        <f>C31+9.75</f>
        <v>323.75</v>
      </c>
      <c r="D32">
        <v>9</v>
      </c>
      <c r="E32">
        <f t="shared" si="0"/>
        <v>1.0360591715005374</v>
      </c>
      <c r="F32">
        <v>3.9</v>
      </c>
      <c r="G32">
        <v>1.29</v>
      </c>
      <c r="H32">
        <v>21.4</v>
      </c>
    </row>
    <row r="33" spans="2:8" ht="49" customHeight="1" x14ac:dyDescent="0.2">
      <c r="B33" t="s">
        <v>45</v>
      </c>
      <c r="C33">
        <f>C32+13.25</f>
        <v>337</v>
      </c>
      <c r="D33">
        <v>9</v>
      </c>
      <c r="E33">
        <f t="shared" si="0"/>
        <v>1.0360591715005374</v>
      </c>
      <c r="F33">
        <v>4</v>
      </c>
      <c r="G33">
        <v>1.35</v>
      </c>
      <c r="H33">
        <v>21.7</v>
      </c>
    </row>
    <row r="34" spans="2:8" ht="46" customHeight="1" x14ac:dyDescent="0.2">
      <c r="B34" t="s">
        <v>46</v>
      </c>
      <c r="C34">
        <f>C33+11.75</f>
        <v>348.75</v>
      </c>
      <c r="D34">
        <v>9</v>
      </c>
      <c r="E34">
        <f t="shared" si="0"/>
        <v>1.0360591715005374</v>
      </c>
      <c r="F34">
        <v>4</v>
      </c>
      <c r="G34">
        <v>1.33</v>
      </c>
      <c r="H34">
        <v>21.8</v>
      </c>
    </row>
    <row r="35" spans="2:8" ht="57" customHeight="1" x14ac:dyDescent="0.2">
      <c r="B35" t="s">
        <v>47</v>
      </c>
      <c r="C35">
        <f>C34+14.75</f>
        <v>363.5</v>
      </c>
      <c r="E35">
        <v>0.996</v>
      </c>
      <c r="F35">
        <v>4</v>
      </c>
      <c r="G35">
        <v>1.33</v>
      </c>
      <c r="H35">
        <v>21.8</v>
      </c>
    </row>
    <row r="36" spans="2:8" ht="56" customHeight="1" x14ac:dyDescent="0.2"/>
    <row r="37" spans="2:8" ht="64" customHeight="1" x14ac:dyDescent="0.2"/>
    <row r="38" spans="2:8" ht="56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Nixon Sherrod</dc:creator>
  <cp:lastModifiedBy>Ethan Nixon Sherrod</cp:lastModifiedBy>
  <dcterms:created xsi:type="dcterms:W3CDTF">2026-07-18T17:53:30Z</dcterms:created>
  <dcterms:modified xsi:type="dcterms:W3CDTF">2026-08-05T21:20:04Z</dcterms:modified>
</cp:coreProperties>
</file>